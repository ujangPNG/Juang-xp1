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D:\ASET\Juang xp1\blocking agustus\Toko Baju\"/>
    </mc:Choice>
  </mc:AlternateContent>
  <xr:revisionPtr revIDLastSave="0" documentId="13_ncr:1_{D8C8FCD7-2433-4FFC-A1CB-B6919E882F4A}" xr6:coauthVersionLast="47" xr6:coauthVersionMax="47" xr10:uidLastSave="{00000000-0000-0000-0000-000000000000}"/>
  <bookViews>
    <workbookView xWindow="-108" yWindow="-108" windowWidth="23256" windowHeight="14616" xr2:uid="{00000000-000D-0000-FFFF-FFFF00000000}"/>
  </bookViews>
  <sheets>
    <sheet name="SALE" sheetId="1" r:id="rId1"/>
    <sheet name="DAFTAR BARANG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4" i="1" l="1"/>
  <c r="I4" i="1" s="1"/>
  <c r="E5" i="1"/>
  <c r="I5" i="1" s="1"/>
  <c r="E6" i="1"/>
  <c r="I6" i="1" s="1"/>
  <c r="E7" i="1"/>
  <c r="I7" i="1" s="1"/>
  <c r="E8" i="1"/>
  <c r="I8" i="1" s="1"/>
  <c r="E9" i="1"/>
  <c r="I9" i="1" s="1"/>
  <c r="E10" i="1"/>
  <c r="I10" i="1" s="1"/>
  <c r="E11" i="1"/>
  <c r="I11" i="1" s="1"/>
  <c r="E12" i="1"/>
  <c r="I12" i="1" s="1"/>
  <c r="E13" i="1"/>
  <c r="I13" i="1" s="1"/>
  <c r="E14" i="1"/>
  <c r="I14" i="1" s="1"/>
  <c r="E15" i="1"/>
  <c r="I15" i="1" s="1"/>
  <c r="E16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I16" i="1"/>
  <c r="D17" i="1"/>
  <c r="D18" i="1"/>
  <c r="D19" i="1"/>
  <c r="D20" i="1"/>
  <c r="D21" i="1"/>
  <c r="D22" i="1"/>
  <c r="D23" i="1"/>
  <c r="D24" i="1"/>
  <c r="D25" i="1"/>
  <c r="D26" i="1"/>
  <c r="D27" i="1"/>
  <c r="E18" i="1"/>
  <c r="I18" i="1" s="1"/>
  <c r="E17" i="1"/>
  <c r="I17" i="1" s="1"/>
  <c r="E19" i="1"/>
  <c r="I19" i="1" s="1"/>
  <c r="E20" i="1"/>
  <c r="I20" i="1" s="1"/>
  <c r="E22" i="1"/>
  <c r="I22" i="1" s="1"/>
  <c r="E21" i="1"/>
  <c r="I21" i="1" s="1"/>
  <c r="E24" i="1"/>
  <c r="I24" i="1" s="1"/>
  <c r="E25" i="1"/>
  <c r="I25" i="1" s="1"/>
  <c r="E23" i="1"/>
  <c r="I23" i="1" s="1"/>
  <c r="E26" i="1"/>
  <c r="I26" i="1" s="1"/>
  <c r="E27" i="1"/>
  <c r="I27" i="1" s="1"/>
</calcChain>
</file>

<file path=xl/sharedStrings.xml><?xml version="1.0" encoding="utf-8"?>
<sst xmlns="http://schemas.openxmlformats.org/spreadsheetml/2006/main" count="51" uniqueCount="44">
  <si>
    <t>NAMA PELANGGAN</t>
  </si>
  <si>
    <t>HARGA</t>
  </si>
  <si>
    <t>SATUAN</t>
  </si>
  <si>
    <t>MEMBER</t>
  </si>
  <si>
    <t>DISKON</t>
  </si>
  <si>
    <t>JUMLAH</t>
  </si>
  <si>
    <t>DR 02</t>
  </si>
  <si>
    <t>DR 01</t>
  </si>
  <si>
    <t>TANGGAL</t>
  </si>
  <si>
    <t>DR 03</t>
  </si>
  <si>
    <t>DR 04</t>
  </si>
  <si>
    <t>DR 05</t>
  </si>
  <si>
    <t>DR 06</t>
  </si>
  <si>
    <t>DR 07</t>
  </si>
  <si>
    <t>DR 08</t>
  </si>
  <si>
    <t>DR 09</t>
  </si>
  <si>
    <t>DR 10</t>
  </si>
  <si>
    <t>DR 11</t>
  </si>
  <si>
    <t>DR 12</t>
  </si>
  <si>
    <t>DR 13</t>
  </si>
  <si>
    <t>DR 14</t>
  </si>
  <si>
    <t>DR 15</t>
  </si>
  <si>
    <t>Ada</t>
  </si>
  <si>
    <t>KODE BARANG</t>
  </si>
  <si>
    <t>KEMEJA 1</t>
  </si>
  <si>
    <t>KEMEJA 2</t>
  </si>
  <si>
    <t>KEMEJA 3</t>
  </si>
  <si>
    <t>KEMEJA 4</t>
  </si>
  <si>
    <t>KEMEJA 5</t>
  </si>
  <si>
    <t>KEMEJA 6</t>
  </si>
  <si>
    <t>KEMEJA 7</t>
  </si>
  <si>
    <t>KEMEJA 8</t>
  </si>
  <si>
    <t>KEMEJA 9</t>
  </si>
  <si>
    <t>KEMEJA 10</t>
  </si>
  <si>
    <t>KEMEJA 11</t>
  </si>
  <si>
    <t>KEMEJA 12</t>
  </si>
  <si>
    <t>KEMEJA 13</t>
  </si>
  <si>
    <t>BARANG</t>
  </si>
  <si>
    <t>KEMEJA 14</t>
  </si>
  <si>
    <t>KEMEJA 15</t>
  </si>
  <si>
    <t>mufid</t>
  </si>
  <si>
    <t>lu</t>
  </si>
  <si>
    <t>mama</t>
  </si>
  <si>
    <t>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</si>
</sst>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 applyAlignment="1">
      <alignment horizontal="center" vertical="center"/>
    </xf>
    <xf numFmtId="14" fontId="0" fillId="0" borderId="0" xfId="0" applyNumberFormat="1"/>
    <xf numFmtId="9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#'DAFTAR BARANG'!A5"/><Relationship Id="rId1" Type="http://schemas.openxmlformats.org/officeDocument/2006/relationships/image" Target="../media/image1.png"/><Relationship Id="rId4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1257300</xdr:colOff>
      <xdr:row>1</xdr:row>
      <xdr:rowOff>266700</xdr:rowOff>
    </xdr:from>
    <xdr:to>
      <xdr:col>6</xdr:col>
      <xdr:colOff>171450</xdr:colOff>
      <xdr:row>1</xdr:row>
      <xdr:rowOff>1724025</xdr:rowOff>
    </xdr:to>
    <xdr:sp macro="" textlink="">
      <xdr:nvSpPr>
        <xdr:cNvPr id="6" name="Horizontal Scroll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257300" y="457200"/>
          <a:ext cx="3771900" cy="1457325"/>
        </a:xfrm>
        <a:prstGeom prst="horizontalScroll">
          <a:avLst/>
        </a:prstGeom>
        <a:solidFill>
          <a:srgbClr val="7030A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n-US" sz="2400" b="1" i="1">
            <a:latin typeface="Cooper Black" panose="0208090404030B020404" pitchFamily="18" charset="0"/>
          </a:endParaRPr>
        </a:p>
        <a:p>
          <a:pPr algn="ctr"/>
          <a:r>
            <a:rPr lang="id-ID" sz="2400" b="1" i="1" baseline="0">
              <a:latin typeface="Cooper Black" panose="0208090404030B020404" pitchFamily="18" charset="0"/>
            </a:rPr>
            <a:t> </a:t>
          </a:r>
          <a:r>
            <a:rPr lang="id-ID" sz="24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💀</a:t>
          </a:r>
          <a:r>
            <a:rPr lang="en-US" sz="2400" b="1" i="1">
              <a:latin typeface="Cooper Black" panose="0208090404030B020404" pitchFamily="18" charset="0"/>
            </a:rPr>
            <a:t>TOKO</a:t>
          </a:r>
          <a:r>
            <a:rPr lang="en-US" sz="2400" b="1" i="1" baseline="0">
              <a:latin typeface="Cooper Black" panose="0208090404030B020404" pitchFamily="18" charset="0"/>
            </a:rPr>
            <a:t> BAJU </a:t>
          </a:r>
          <a:r>
            <a:rPr lang="id-ID" sz="2400" b="1" i="1" baseline="0">
              <a:latin typeface="Cooper Black" panose="0208090404030B020404" pitchFamily="18" charset="0"/>
            </a:rPr>
            <a:t>💀</a:t>
          </a:r>
          <a:endParaRPr lang="en-US" sz="2400" b="1" i="1">
            <a:latin typeface="Cooper Black" panose="0208090404030B020404" pitchFamily="18" charset="0"/>
          </a:endParaRPr>
        </a:p>
      </xdr:txBody>
    </xdr:sp>
    <xdr:clientData/>
  </xdr:twoCellAnchor>
  <xdr:twoCellAnchor editAs="oneCell">
    <xdr:from>
      <xdr:col>9</xdr:col>
      <xdr:colOff>466726</xdr:colOff>
      <xdr:row>1</xdr:row>
      <xdr:rowOff>933451</xdr:rowOff>
    </xdr:from>
    <xdr:to>
      <xdr:col>12</xdr:col>
      <xdr:colOff>227402</xdr:colOff>
      <xdr:row>1</xdr:row>
      <xdr:rowOff>2190751</xdr:rowOff>
    </xdr:to>
    <xdr:pic macro="[0]!Belanja">
      <xdr:nvPicPr>
        <xdr:cNvPr id="8" name="Picture 7" descr="shopping, bag Icon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6" y="1123951"/>
          <a:ext cx="1589476" cy="1257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76202</xdr:colOff>
      <xdr:row>1</xdr:row>
      <xdr:rowOff>1066801</xdr:rowOff>
    </xdr:from>
    <xdr:to>
      <xdr:col>14</xdr:col>
      <xdr:colOff>428626</xdr:colOff>
      <xdr:row>1</xdr:row>
      <xdr:rowOff>2237147</xdr:rowOff>
    </xdr:to>
    <xdr:pic macro="[0]!Data">
      <xdr:nvPicPr>
        <xdr:cNvPr id="9" name="Picture 8" descr="Blue folded shirt vector image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2" y="1257301"/>
          <a:ext cx="962024" cy="11703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11</xdr:col>
      <xdr:colOff>304800</xdr:colOff>
      <xdr:row>2</xdr:row>
      <xdr:rowOff>104773</xdr:rowOff>
    </xdr:from>
    <xdr:to>
      <xdr:col>13</xdr:col>
      <xdr:colOff>428626</xdr:colOff>
      <xdr:row>9</xdr:row>
      <xdr:rowOff>114299</xdr:rowOff>
    </xdr:to>
    <xdr:pic macro="[0]!cetak">
      <xdr:nvPicPr>
        <xdr:cNvPr id="10" name="Picture 9" descr="Clip Freeuse Library Send To Printer Icon Free Download - Printer Vector Png Flat (1600x1600), Png Download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34475" y="2571748"/>
          <a:ext cx="1343026" cy="1343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I27"/>
  <sheetViews>
    <sheetView tabSelected="1" workbookViewId="0">
      <selection activeCell="K14" sqref="K14"/>
    </sheetView>
  </sheetViews>
  <sheetFormatPr defaultRowHeight="14.4" x14ac:dyDescent="0.3"/>
  <cols>
    <col min="1" max="1" width="20" customWidth="1"/>
    <col min="2" max="2" width="20.109375" customWidth="1"/>
    <col min="3" max="3" width="14.6640625" customWidth="1"/>
    <col min="4" max="5" width="17.33203125" customWidth="1"/>
    <col min="9" max="9" width="12" customWidth="1"/>
  </cols>
  <sheetData>
    <row r="2" spans="1:9" ht="179.25" customHeight="1" x14ac:dyDescent="0.3"/>
    <row r="3" spans="1:9" x14ac:dyDescent="0.3">
      <c r="A3" s="1" t="s">
        <v>8</v>
      </c>
      <c r="B3" s="1" t="s">
        <v>0</v>
      </c>
      <c r="C3" s="1" t="s">
        <v>23</v>
      </c>
      <c r="D3" s="1" t="s">
        <v>37</v>
      </c>
      <c r="E3" s="1" t="s">
        <v>1</v>
      </c>
      <c r="F3" s="1" t="s">
        <v>3</v>
      </c>
      <c r="G3" s="1" t="s">
        <v>2</v>
      </c>
      <c r="H3" s="1" t="s">
        <v>4</v>
      </c>
      <c r="I3" s="1" t="s">
        <v>5</v>
      </c>
    </row>
    <row r="4" spans="1:9" x14ac:dyDescent="0.3">
      <c r="A4" s="2">
        <v>44946</v>
      </c>
      <c r="B4" t="s">
        <v>40</v>
      </c>
      <c r="C4" t="s">
        <v>11</v>
      </c>
      <c r="D4" t="str">
        <f>VLOOKUP(C4,'DAFTAR BARANG'!$A$3:$B$17,2,FALSE)</f>
        <v>KEMEJA 5</v>
      </c>
      <c r="E4">
        <f>VLOOKUP(C4,'DAFTAR BARANG'!$A$3:$C$17,3,FALSE)</f>
        <v>5000</v>
      </c>
      <c r="F4" t="s">
        <v>22</v>
      </c>
      <c r="G4">
        <v>10</v>
      </c>
      <c r="H4" s="3">
        <v>0.1</v>
      </c>
      <c r="I4">
        <f t="shared" ref="I4:I15" si="0">(E4*G4)-(E4*G4)*H4</f>
        <v>45000</v>
      </c>
    </row>
    <row r="5" spans="1:9" x14ac:dyDescent="0.3">
      <c r="A5" s="2">
        <v>45784</v>
      </c>
      <c r="B5" t="s">
        <v>41</v>
      </c>
      <c r="C5" t="s">
        <v>6</v>
      </c>
      <c r="D5" t="str">
        <f>VLOOKUP(C5,'DAFTAR BARANG'!$A$3:$B$17,2,FALSE)</f>
        <v>KEMEJA 2</v>
      </c>
      <c r="E5">
        <f>VLOOKUP(C5,'DAFTAR BARANG'!$A$3:$C$17,3,FALSE)</f>
        <v>2000</v>
      </c>
      <c r="F5" t="s">
        <v>22</v>
      </c>
      <c r="G5">
        <v>8</v>
      </c>
      <c r="H5" s="3">
        <v>0.1</v>
      </c>
      <c r="I5">
        <f t="shared" si="0"/>
        <v>14400</v>
      </c>
    </row>
    <row r="6" spans="1:9" x14ac:dyDescent="0.3">
      <c r="A6" s="2">
        <v>45158</v>
      </c>
      <c r="B6" t="s">
        <v>42</v>
      </c>
      <c r="C6" t="s">
        <v>7</v>
      </c>
      <c r="D6" t="str">
        <f>VLOOKUP(C6,'DAFTAR BARANG'!$A$3:$B$17,2,FALSE)</f>
        <v>KEMEJA 1</v>
      </c>
      <c r="E6">
        <f>VLOOKUP(C6,'DAFTAR BARANG'!$A$3:$C$17,3,FALSE)</f>
        <v>1000</v>
      </c>
      <c r="F6" t="s">
        <v>22</v>
      </c>
      <c r="G6">
        <v>10</v>
      </c>
      <c r="H6" s="3">
        <v>0.1</v>
      </c>
      <c r="I6">
        <f t="shared" si="0"/>
        <v>9000</v>
      </c>
    </row>
    <row r="7" spans="1:9" x14ac:dyDescent="0.3">
      <c r="A7" s="2">
        <v>5</v>
      </c>
      <c r="B7" t="s">
        <v>43</v>
      </c>
      <c r="C7" t="s">
        <v>11</v>
      </c>
      <c r="D7" t="str">
        <f>VLOOKUP(C7,'DAFTAR BARANG'!$A$3:$B$17,2,FALSE)</f>
        <v>KEMEJA 5</v>
      </c>
      <c r="E7">
        <f>VLOOKUP(C7,'DAFTAR BARANG'!$A$3:$C$17,3,FALSE)</f>
        <v>5000</v>
      </c>
      <c r="F7" t="s">
        <v>22</v>
      </c>
      <c r="G7">
        <v>1</v>
      </c>
      <c r="H7" s="3">
        <v>0.1</v>
      </c>
      <c r="I7">
        <f t="shared" si="0"/>
        <v>4500</v>
      </c>
    </row>
    <row r="8" spans="1:9" x14ac:dyDescent="0.3">
      <c r="A8" s="2"/>
      <c r="D8" t="e">
        <f>VLOOKUP(C8,'DAFTAR BARANG'!$A$3:$B$17,2,FALSE)</f>
        <v>#N/A</v>
      </c>
      <c r="E8" t="e">
        <f>VLOOKUP(C8,'DAFTAR BARANG'!$A$3:$C$17,3,FALSE)</f>
        <v>#N/A</v>
      </c>
      <c r="H8" s="3"/>
      <c r="I8" t="e">
        <f t="shared" si="0"/>
        <v>#N/A</v>
      </c>
    </row>
    <row r="9" spans="1:9" x14ac:dyDescent="0.3">
      <c r="A9" s="2"/>
      <c r="D9" t="e">
        <f>VLOOKUP(C9,'DAFTAR BARANG'!$A$3:$B$17,2,FALSE)</f>
        <v>#N/A</v>
      </c>
      <c r="E9" t="e">
        <f>VLOOKUP(C9,'DAFTAR BARANG'!$A$3:$C$17,3,FALSE)</f>
        <v>#N/A</v>
      </c>
      <c r="H9" s="3"/>
      <c r="I9" t="e">
        <f t="shared" si="0"/>
        <v>#N/A</v>
      </c>
    </row>
    <row r="10" spans="1:9" x14ac:dyDescent="0.3">
      <c r="A10" s="2"/>
      <c r="D10" t="e">
        <f>VLOOKUP(C10,'DAFTAR BARANG'!$A$3:$B$17,2,FALSE)</f>
        <v>#N/A</v>
      </c>
      <c r="E10" t="e">
        <f>VLOOKUP(C10,'DAFTAR BARANG'!$A$3:$C$17,3,FALSE)</f>
        <v>#N/A</v>
      </c>
      <c r="H10" s="3"/>
      <c r="I10" t="e">
        <f t="shared" si="0"/>
        <v>#N/A</v>
      </c>
    </row>
    <row r="11" spans="1:9" x14ac:dyDescent="0.3">
      <c r="A11" s="2"/>
      <c r="D11" t="e">
        <f>VLOOKUP(C11,'DAFTAR BARANG'!$A$3:$B$17,2,FALSE)</f>
        <v>#N/A</v>
      </c>
      <c r="E11" t="e">
        <f>VLOOKUP(C11,'DAFTAR BARANG'!$A$3:$C$17,3,FALSE)</f>
        <v>#N/A</v>
      </c>
      <c r="H11" s="3"/>
      <c r="I11" t="e">
        <f t="shared" si="0"/>
        <v>#N/A</v>
      </c>
    </row>
    <row r="12" spans="1:9" x14ac:dyDescent="0.3">
      <c r="A12" s="2"/>
      <c r="D12" t="e">
        <f>VLOOKUP(C12,'DAFTAR BARANG'!$A$3:$B$17,2,FALSE)</f>
        <v>#N/A</v>
      </c>
      <c r="E12" t="e">
        <f>VLOOKUP(C12,'DAFTAR BARANG'!$A$3:$C$17,3,FALSE)</f>
        <v>#N/A</v>
      </c>
      <c r="H12" s="3"/>
      <c r="I12" t="e">
        <f t="shared" si="0"/>
        <v>#N/A</v>
      </c>
    </row>
    <row r="13" spans="1:9" x14ac:dyDescent="0.3">
      <c r="A13" s="2"/>
      <c r="D13" t="e">
        <f>VLOOKUP(C13,'DAFTAR BARANG'!$A$3:$B$17,2,FALSE)</f>
        <v>#N/A</v>
      </c>
      <c r="E13" t="e">
        <f>VLOOKUP(C13,'DAFTAR BARANG'!$A$3:$C$17,3,FALSE)</f>
        <v>#N/A</v>
      </c>
      <c r="H13" s="3"/>
      <c r="I13" t="e">
        <f t="shared" si="0"/>
        <v>#N/A</v>
      </c>
    </row>
    <row r="14" spans="1:9" x14ac:dyDescent="0.3">
      <c r="A14" s="2"/>
      <c r="D14" t="e">
        <f>VLOOKUP(C14,'DAFTAR BARANG'!$A$3:$B$17,2,FALSE)</f>
        <v>#N/A</v>
      </c>
      <c r="E14" t="e">
        <f>VLOOKUP(C14,'DAFTAR BARANG'!$A$3:$C$17,3,FALSE)</f>
        <v>#N/A</v>
      </c>
      <c r="H14" s="3"/>
      <c r="I14" t="e">
        <f t="shared" si="0"/>
        <v>#N/A</v>
      </c>
    </row>
    <row r="15" spans="1:9" x14ac:dyDescent="0.3">
      <c r="A15" s="2"/>
      <c r="D15" t="e">
        <f>VLOOKUP(C15,'DAFTAR BARANG'!$A$3:$B$17,2,FALSE)</f>
        <v>#N/A</v>
      </c>
      <c r="E15" t="e">
        <f>VLOOKUP(C15,'DAFTAR BARANG'!$A$3:$C$17,3,FALSE)</f>
        <v>#N/A</v>
      </c>
      <c r="I15" t="e">
        <f t="shared" si="0"/>
        <v>#N/A</v>
      </c>
    </row>
    <row r="16" spans="1:9" x14ac:dyDescent="0.3">
      <c r="A16" s="2"/>
      <c r="D16" t="e">
        <f>VLOOKUP(C16,'DAFTAR BARANG'!$A$3:$B$17,2,FALSE)</f>
        <v>#N/A</v>
      </c>
      <c r="E16" t="e">
        <f>VLOOKUP(C16,'DAFTAR BARANG'!$A$3:$C$17,3,FALSE)</f>
        <v>#N/A</v>
      </c>
      <c r="I16" t="e">
        <f t="shared" ref="I16:I27" si="1">(E16*G16)-(E16*G16)*H16</f>
        <v>#N/A</v>
      </c>
    </row>
    <row r="17" spans="1:9" x14ac:dyDescent="0.3">
      <c r="A17" s="2"/>
      <c r="D17" t="e">
        <f>VLOOKUP(C17,'DAFTAR BARANG'!$A$3:$B$17,2,FALSE)</f>
        <v>#N/A</v>
      </c>
      <c r="E17" t="e">
        <f>VLOOKUP(C17,'DAFTAR BARANG'!$A$3:$C$17,3,FALSE)</f>
        <v>#N/A</v>
      </c>
      <c r="I17" t="e">
        <f t="shared" si="1"/>
        <v>#N/A</v>
      </c>
    </row>
    <row r="18" spans="1:9" x14ac:dyDescent="0.3">
      <c r="A18" s="2"/>
      <c r="D18" t="e">
        <f>VLOOKUP(C18,'DAFTAR BARANG'!$A$3:$B$17,2,FALSE)</f>
        <v>#N/A</v>
      </c>
      <c r="E18" t="e">
        <f>VLOOKUP(C18,'DAFTAR BARANG'!$A$3:$C$17,3,FALSE)</f>
        <v>#N/A</v>
      </c>
      <c r="I18" t="e">
        <f t="shared" si="1"/>
        <v>#N/A</v>
      </c>
    </row>
    <row r="19" spans="1:9" x14ac:dyDescent="0.3">
      <c r="A19" s="2"/>
      <c r="D19" t="e">
        <f>VLOOKUP(C19,'DAFTAR BARANG'!$A$3:$B$17,2,FALSE)</f>
        <v>#N/A</v>
      </c>
      <c r="E19" t="e">
        <f>VLOOKUP(C19,'DAFTAR BARANG'!$A$3:$C$17,3,FALSE)</f>
        <v>#N/A</v>
      </c>
      <c r="I19" t="e">
        <f t="shared" si="1"/>
        <v>#N/A</v>
      </c>
    </row>
    <row r="20" spans="1:9" x14ac:dyDescent="0.3">
      <c r="A20" s="2"/>
      <c r="D20" t="e">
        <f>VLOOKUP(C20,'DAFTAR BARANG'!$A$3:$B$17,2,FALSE)</f>
        <v>#N/A</v>
      </c>
      <c r="E20" t="e">
        <f>VLOOKUP(C20,'DAFTAR BARANG'!$A$3:$C$17,3,FALSE)</f>
        <v>#N/A</v>
      </c>
      <c r="I20" t="e">
        <f t="shared" si="1"/>
        <v>#N/A</v>
      </c>
    </row>
    <row r="21" spans="1:9" x14ac:dyDescent="0.3">
      <c r="A21" s="2"/>
      <c r="D21" t="e">
        <f>VLOOKUP(C21,'DAFTAR BARANG'!$A$3:$B$17,2,FALSE)</f>
        <v>#N/A</v>
      </c>
      <c r="E21" t="e">
        <f>VLOOKUP(C21,'DAFTAR BARANG'!$A$3:$C$17,3,FALSE)</f>
        <v>#N/A</v>
      </c>
      <c r="I21" t="e">
        <f t="shared" si="1"/>
        <v>#N/A</v>
      </c>
    </row>
    <row r="22" spans="1:9" x14ac:dyDescent="0.3">
      <c r="A22" s="2"/>
      <c r="D22" t="e">
        <f>VLOOKUP(C22,'DAFTAR BARANG'!$A$3:$B$17,2,FALSE)</f>
        <v>#N/A</v>
      </c>
      <c r="E22" t="e">
        <f>VLOOKUP(C22,'DAFTAR BARANG'!$A$3:$C$17,3,FALSE)</f>
        <v>#N/A</v>
      </c>
      <c r="I22" t="e">
        <f t="shared" si="1"/>
        <v>#N/A</v>
      </c>
    </row>
    <row r="23" spans="1:9" x14ac:dyDescent="0.3">
      <c r="A23" s="2"/>
      <c r="D23" t="e">
        <f>VLOOKUP(C23,'DAFTAR BARANG'!$A$3:$B$17,2,FALSE)</f>
        <v>#N/A</v>
      </c>
      <c r="E23" t="e">
        <f>VLOOKUP(C23,'DAFTAR BARANG'!$A$3:$C$17,3,FALSE)</f>
        <v>#N/A</v>
      </c>
      <c r="I23" t="e">
        <f t="shared" si="1"/>
        <v>#N/A</v>
      </c>
    </row>
    <row r="24" spans="1:9" x14ac:dyDescent="0.3">
      <c r="A24" s="2"/>
      <c r="D24" t="e">
        <f>VLOOKUP(C24,'DAFTAR BARANG'!$A$3:$B$17,2,FALSE)</f>
        <v>#N/A</v>
      </c>
      <c r="E24" t="e">
        <f>VLOOKUP(C24,'DAFTAR BARANG'!$A$3:$C$17,3,FALSE)</f>
        <v>#N/A</v>
      </c>
      <c r="I24" t="e">
        <f t="shared" si="1"/>
        <v>#N/A</v>
      </c>
    </row>
    <row r="25" spans="1:9" x14ac:dyDescent="0.3">
      <c r="A25" s="2"/>
      <c r="D25" t="e">
        <f>VLOOKUP(C25,'DAFTAR BARANG'!$A$3:$B$17,2,FALSE)</f>
        <v>#N/A</v>
      </c>
      <c r="E25" t="e">
        <f>VLOOKUP(C25,'DAFTAR BARANG'!$A$3:$C$17,3,FALSE)</f>
        <v>#N/A</v>
      </c>
      <c r="I25" t="e">
        <f t="shared" si="1"/>
        <v>#N/A</v>
      </c>
    </row>
    <row r="26" spans="1:9" x14ac:dyDescent="0.3">
      <c r="A26" s="2"/>
      <c r="D26" t="e">
        <f>VLOOKUP(C26,'DAFTAR BARANG'!$A$3:$B$17,2,FALSE)</f>
        <v>#N/A</v>
      </c>
      <c r="E26" t="e">
        <f>VLOOKUP(C26,'DAFTAR BARANG'!$A$3:$C$17,3,FALSE)</f>
        <v>#N/A</v>
      </c>
      <c r="I26" t="e">
        <f t="shared" si="1"/>
        <v>#N/A</v>
      </c>
    </row>
    <row r="27" spans="1:9" x14ac:dyDescent="0.3">
      <c r="A27" s="2"/>
      <c r="D27" t="e">
        <f>VLOOKUP(C27,'DAFTAR BARANG'!$A$3:$B$17,2,FALSE)</f>
        <v>#N/A</v>
      </c>
      <c r="E27" t="e">
        <f>VLOOKUP(C27,'DAFTAR BARANG'!$A$3:$C$17,3,FALSE)</f>
        <v>#N/A</v>
      </c>
      <c r="I27" t="e">
        <f t="shared" si="1"/>
        <v>#N/A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3:C17"/>
  <sheetViews>
    <sheetView workbookViewId="0">
      <selection activeCell="A5" sqref="A5"/>
    </sheetView>
  </sheetViews>
  <sheetFormatPr defaultRowHeight="14.4" x14ac:dyDescent="0.3"/>
  <cols>
    <col min="2" max="2" width="11.88671875" customWidth="1"/>
  </cols>
  <sheetData>
    <row r="3" spans="1:3" x14ac:dyDescent="0.3">
      <c r="A3" t="s">
        <v>7</v>
      </c>
      <c r="B3" t="s">
        <v>24</v>
      </c>
      <c r="C3">
        <v>1000</v>
      </c>
    </row>
    <row r="4" spans="1:3" x14ac:dyDescent="0.3">
      <c r="A4" t="s">
        <v>6</v>
      </c>
      <c r="B4" t="s">
        <v>25</v>
      </c>
      <c r="C4">
        <v>2000</v>
      </c>
    </row>
    <row r="5" spans="1:3" x14ac:dyDescent="0.3">
      <c r="A5" t="s">
        <v>9</v>
      </c>
      <c r="B5" t="s">
        <v>26</v>
      </c>
      <c r="C5">
        <v>3000</v>
      </c>
    </row>
    <row r="6" spans="1:3" x14ac:dyDescent="0.3">
      <c r="A6" t="s">
        <v>10</v>
      </c>
      <c r="B6" t="s">
        <v>27</v>
      </c>
      <c r="C6">
        <v>4000</v>
      </c>
    </row>
    <row r="7" spans="1:3" x14ac:dyDescent="0.3">
      <c r="A7" t="s">
        <v>11</v>
      </c>
      <c r="B7" t="s">
        <v>28</v>
      </c>
      <c r="C7">
        <v>5000</v>
      </c>
    </row>
    <row r="8" spans="1:3" x14ac:dyDescent="0.3">
      <c r="A8" t="s">
        <v>12</v>
      </c>
      <c r="B8" t="s">
        <v>29</v>
      </c>
      <c r="C8">
        <v>6000</v>
      </c>
    </row>
    <row r="9" spans="1:3" x14ac:dyDescent="0.3">
      <c r="A9" t="s">
        <v>13</v>
      </c>
      <c r="B9" t="s">
        <v>30</v>
      </c>
      <c r="C9">
        <v>7000</v>
      </c>
    </row>
    <row r="10" spans="1:3" x14ac:dyDescent="0.3">
      <c r="A10" t="s">
        <v>14</v>
      </c>
      <c r="B10" t="s">
        <v>31</v>
      </c>
      <c r="C10">
        <v>8000</v>
      </c>
    </row>
    <row r="11" spans="1:3" x14ac:dyDescent="0.3">
      <c r="A11" t="s">
        <v>15</v>
      </c>
      <c r="B11" t="s">
        <v>32</v>
      </c>
      <c r="C11">
        <v>9000</v>
      </c>
    </row>
    <row r="12" spans="1:3" x14ac:dyDescent="0.3">
      <c r="A12" t="s">
        <v>16</v>
      </c>
      <c r="B12" t="s">
        <v>33</v>
      </c>
      <c r="C12">
        <v>10000</v>
      </c>
    </row>
    <row r="13" spans="1:3" x14ac:dyDescent="0.3">
      <c r="A13" t="s">
        <v>17</v>
      </c>
      <c r="B13" t="s">
        <v>34</v>
      </c>
      <c r="C13">
        <v>11000</v>
      </c>
    </row>
    <row r="14" spans="1:3" x14ac:dyDescent="0.3">
      <c r="A14" t="s">
        <v>18</v>
      </c>
      <c r="B14" t="s">
        <v>35</v>
      </c>
      <c r="C14">
        <v>12000</v>
      </c>
    </row>
    <row r="15" spans="1:3" x14ac:dyDescent="0.3">
      <c r="A15" t="s">
        <v>19</v>
      </c>
      <c r="B15" t="s">
        <v>36</v>
      </c>
      <c r="C15">
        <v>13000</v>
      </c>
    </row>
    <row r="16" spans="1:3" x14ac:dyDescent="0.3">
      <c r="A16" t="s">
        <v>20</v>
      </c>
      <c r="B16" t="s">
        <v>38</v>
      </c>
      <c r="C16">
        <v>14000</v>
      </c>
    </row>
    <row r="17" spans="1:3" x14ac:dyDescent="0.3">
      <c r="A17" t="s">
        <v>21</v>
      </c>
      <c r="B17" t="s">
        <v>39</v>
      </c>
      <c r="C17">
        <v>15000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SALE</vt:lpstr>
      <vt:lpstr>DAFTAR BARANG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RPL-29</dc:creator>
  <cp:lastModifiedBy>j fv</cp:lastModifiedBy>
  <dcterms:created xsi:type="dcterms:W3CDTF">2023-08-24T03:07:17Z</dcterms:created>
  <dcterms:modified xsi:type="dcterms:W3CDTF">2024-07-18T07:24:14Z</dcterms:modified>
</cp:coreProperties>
</file>